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_Portfolio\IBM\final_assignment\end\"/>
    </mc:Choice>
  </mc:AlternateContent>
  <xr:revisionPtr revIDLastSave="0" documentId="8_{322648E1-C2DE-4145-8EAF-79D53394FA5A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Montgomery_Fleet_Equipment_Inve" sheetId="1" r:id="rId1"/>
    <sheet name="first-pivot" sheetId="4" r:id="rId2"/>
    <sheet name="second-pivot" sheetId="3" r:id="rId3"/>
    <sheet name="third-pivot" sheetId="2" r:id="rId4"/>
  </sheets>
  <definedNames>
    <definedName name="_xlnm._FilterDatabase" localSheetId="0" hidden="1">Montgomery_Fleet_Equipment_Inve!$A$1:$C$50</definedName>
  </definedNames>
  <calcPr calcId="191029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5" i="1" l="1"/>
  <c r="C54" i="1"/>
  <c r="C53" i="1"/>
  <c r="C52" i="1"/>
  <c r="C51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<sst xmlns="http://schemas.openxmlformats.org/spreadsheetml/2006/main" count="165" uniqueCount="37">
  <si>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</si>
  <si>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</si>
  <si>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</si>
  <si>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</si>
  <si>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</si>
  <si>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</si>
  <si>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</si>
  <si>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</si>
  <si>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</si>
  <si>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</si>
  <si>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</si>
  <si>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</si>
  <si>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</si>
  <si>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</si>
  <si>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</si>
  <si>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</si>
  <si>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</si>
  <si>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</si>
  <si>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</si>
  <si>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</si>
  <si>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</si>
  <si>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</si>
  <si>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</si>
  <si>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</si>
  <si>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</si>
  <si>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</si>
  <si>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</si>
  <si>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</si>
  <si>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</si>
  <si>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</si>
  <si>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avarage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</si>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</sst>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" fillId="23" borderId="10" xfId="32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999" refreshedDate="45565.432977199074" createdVersion="7" refreshedVersion="7" minRefreshableVersion="3" recordCount="49" xr:uid="{45DA7F23-2644-455E-965E-58CC6426878C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B6D8C-B1CF-4B04-8AF1-BC895FEDBA31}" name="PivotTable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A431C-CC87-4F1E-8AD0-F27DD904C327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ACDBA-C0E8-4BE5-96B1-6330500785E4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0"/>
    </i>
    <i r="1">
      <x v="1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95F2AF-7D44-42C4-A105-4FA2525CACED}" name="Table1" displayName="Table1" ref="A1:C51" totalsRowCount="1">
  <autoFilter ref="A1:C50" xr:uid="{F995F2AF-7D44-42C4-A105-4FA2525CACED}"/>
  <tableColumns count="3">
    <tableColumn id="1" xr3:uid="{868A3B12-5727-4EBC-B1CF-C2D40DAE71F3}" name="Department"/>
    <tableColumn id="2" xr3:uid="{1EB6A5C4-008F-46FF-A338-8A4EABEB8EAD}" name="Equipment Class" totalsRowLabel="sum" totalsRowDxfId="1" totalsRowCellStyle="40% - Accent4"/>
    <tableColumn id="3" xr3:uid="{4BF977E3-9823-4077-8CB5-0CE879C3547B}" name="Equipment Count" totalsRowFunction="custom" totalsRowDxfId="0" totalsRowCellStyle="40% - Accent4">
      <totalsRowFormula>SUM(Table1[Equipment Count])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opLeftCell="A26" workbookViewId="0">
      <selection activeCell="B40" sqref="A2:C50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51" spans="1:3" x14ac:dyDescent="0.3">
      <c r="B51" s="1" t="s">
        <v>29</v>
      </c>
      <c r="C51" s="1">
        <f>SUM(Table1[Equipment Count])</f>
        <v>1582</v>
      </c>
    </row>
    <row r="52" spans="1:3" x14ac:dyDescent="0.3">
      <c r="B52" s="1" t="s">
        <v>30</v>
      </c>
      <c r="C52" s="1">
        <f>AVERAGE(Table1[Equipment Count])</f>
        <v>32.285714285714285</v>
      </c>
    </row>
    <row r="53" spans="1:3" x14ac:dyDescent="0.3">
      <c r="B53" s="1" t="s">
        <v>31</v>
      </c>
      <c r="C53" s="1">
        <f>MIN(Table1[Equipment Count])</f>
        <v>1</v>
      </c>
    </row>
    <row r="54" spans="1:3" x14ac:dyDescent="0.3">
      <c r="B54" s="1" t="s">
        <v>32</v>
      </c>
      <c r="C54" s="1">
        <f>MAX(Table1[Equipment Count])</f>
        <v>379</v>
      </c>
    </row>
    <row r="55" spans="1:3" x14ac:dyDescent="0.3">
      <c r="B55" s="1" t="s">
        <v>33</v>
      </c>
      <c r="C55" s="1">
        <f>COUNT(Table1[Equipment Count])</f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109E-886E-4B97-858B-6CEBBBEE8E98}">
  <dimension ref="A3:B16"/>
  <sheetViews>
    <sheetView workbookViewId="0">
      <selection activeCell="A3" sqref="A3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2" t="s">
        <v>34</v>
      </c>
      <c r="B3" t="s">
        <v>36</v>
      </c>
    </row>
    <row r="4" spans="1:2" x14ac:dyDescent="0.3">
      <c r="A4" s="3" t="s">
        <v>26</v>
      </c>
      <c r="B4" s="4">
        <v>1221</v>
      </c>
    </row>
    <row r="5" spans="1:2" x14ac:dyDescent="0.3">
      <c r="A5" s="3" t="s">
        <v>15</v>
      </c>
      <c r="B5" s="4">
        <v>109</v>
      </c>
    </row>
    <row r="6" spans="1:2" x14ac:dyDescent="0.3">
      <c r="A6" s="3" t="s">
        <v>19</v>
      </c>
      <c r="B6" s="4">
        <v>85</v>
      </c>
    </row>
    <row r="7" spans="1:2" x14ac:dyDescent="0.3">
      <c r="A7" s="3" t="s">
        <v>12</v>
      </c>
      <c r="B7" s="4">
        <v>56</v>
      </c>
    </row>
    <row r="8" spans="1:2" x14ac:dyDescent="0.3">
      <c r="A8" s="3" t="s">
        <v>5</v>
      </c>
      <c r="B8" s="4">
        <v>45</v>
      </c>
    </row>
    <row r="9" spans="1:2" x14ac:dyDescent="0.3">
      <c r="A9" s="3" t="s">
        <v>18</v>
      </c>
      <c r="B9" s="4">
        <v>35</v>
      </c>
    </row>
    <row r="10" spans="1:2" x14ac:dyDescent="0.3">
      <c r="A10" s="3" t="s">
        <v>25</v>
      </c>
      <c r="B10" s="4">
        <v>16</v>
      </c>
    </row>
    <row r="11" spans="1:2" x14ac:dyDescent="0.3">
      <c r="A11" s="3" t="s">
        <v>9</v>
      </c>
      <c r="B11" s="4">
        <v>6</v>
      </c>
    </row>
    <row r="12" spans="1:2" x14ac:dyDescent="0.3">
      <c r="A12" s="3" t="s">
        <v>24</v>
      </c>
      <c r="B12" s="4">
        <v>5</v>
      </c>
    </row>
    <row r="13" spans="1:2" x14ac:dyDescent="0.3">
      <c r="A13" s="3" t="s">
        <v>8</v>
      </c>
      <c r="B13" s="4">
        <v>2</v>
      </c>
    </row>
    <row r="14" spans="1:2" x14ac:dyDescent="0.3">
      <c r="A14" s="3" t="s">
        <v>14</v>
      </c>
      <c r="B14" s="4">
        <v>1</v>
      </c>
    </row>
    <row r="15" spans="1:2" x14ac:dyDescent="0.3">
      <c r="A15" s="3" t="s">
        <v>17</v>
      </c>
      <c r="B15" s="4">
        <v>1</v>
      </c>
    </row>
    <row r="16" spans="1:2" x14ac:dyDescent="0.3">
      <c r="A16" s="3" t="s">
        <v>35</v>
      </c>
      <c r="B16" s="4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7858-C7E1-4955-BE30-F187A26603D2}">
  <dimension ref="A3:B25"/>
  <sheetViews>
    <sheetView tabSelected="1" workbookViewId="0">
      <selection activeCell="A4" sqref="A4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2" t="s">
        <v>34</v>
      </c>
      <c r="B3" t="s">
        <v>36</v>
      </c>
    </row>
    <row r="4" spans="1:2" x14ac:dyDescent="0.3">
      <c r="A4" s="3" t="s">
        <v>26</v>
      </c>
      <c r="B4" s="4">
        <v>1221</v>
      </c>
    </row>
    <row r="5" spans="1:2" x14ac:dyDescent="0.3">
      <c r="A5" s="5" t="s">
        <v>16</v>
      </c>
      <c r="B5" s="4">
        <v>5</v>
      </c>
    </row>
    <row r="6" spans="1:2" x14ac:dyDescent="0.3">
      <c r="A6" s="5" t="s">
        <v>13</v>
      </c>
      <c r="B6" s="4">
        <v>248</v>
      </c>
    </row>
    <row r="7" spans="1:2" x14ac:dyDescent="0.3">
      <c r="A7" s="5" t="s">
        <v>11</v>
      </c>
      <c r="B7" s="4">
        <v>98</v>
      </c>
    </row>
    <row r="8" spans="1:2" x14ac:dyDescent="0.3">
      <c r="A8" s="5" t="s">
        <v>28</v>
      </c>
      <c r="B8" s="4">
        <v>276</v>
      </c>
    </row>
    <row r="9" spans="1:2" x14ac:dyDescent="0.3">
      <c r="A9" s="5" t="s">
        <v>6</v>
      </c>
      <c r="B9" s="4">
        <v>93</v>
      </c>
    </row>
    <row r="10" spans="1:2" x14ac:dyDescent="0.3">
      <c r="A10" s="5" t="s">
        <v>4</v>
      </c>
      <c r="B10" s="4">
        <v>37</v>
      </c>
    </row>
    <row r="11" spans="1:2" x14ac:dyDescent="0.3">
      <c r="A11" s="5" t="s">
        <v>7</v>
      </c>
      <c r="B11" s="4">
        <v>53</v>
      </c>
    </row>
    <row r="12" spans="1:2" x14ac:dyDescent="0.3">
      <c r="A12" s="5" t="s">
        <v>27</v>
      </c>
      <c r="B12" s="4">
        <v>379</v>
      </c>
    </row>
    <row r="13" spans="1:2" x14ac:dyDescent="0.3">
      <c r="A13" s="5" t="s">
        <v>10</v>
      </c>
      <c r="B13" s="4">
        <v>32</v>
      </c>
    </row>
    <row r="14" spans="1:2" x14ac:dyDescent="0.3">
      <c r="A14" s="3" t="s">
        <v>15</v>
      </c>
      <c r="B14" s="4">
        <v>109</v>
      </c>
    </row>
    <row r="15" spans="1:2" x14ac:dyDescent="0.3">
      <c r="A15" s="3" t="s">
        <v>19</v>
      </c>
      <c r="B15" s="4">
        <v>85</v>
      </c>
    </row>
    <row r="16" spans="1:2" x14ac:dyDescent="0.3">
      <c r="A16" s="3" t="s">
        <v>12</v>
      </c>
      <c r="B16" s="4">
        <v>56</v>
      </c>
    </row>
    <row r="17" spans="1:2" x14ac:dyDescent="0.3">
      <c r="A17" s="3" t="s">
        <v>5</v>
      </c>
      <c r="B17" s="4">
        <v>45</v>
      </c>
    </row>
    <row r="18" spans="1:2" x14ac:dyDescent="0.3">
      <c r="A18" s="3" t="s">
        <v>18</v>
      </c>
      <c r="B18" s="4">
        <v>35</v>
      </c>
    </row>
    <row r="19" spans="1:2" x14ac:dyDescent="0.3">
      <c r="A19" s="3" t="s">
        <v>25</v>
      </c>
      <c r="B19" s="4">
        <v>16</v>
      </c>
    </row>
    <row r="20" spans="1:2" x14ac:dyDescent="0.3">
      <c r="A20" s="3" t="s">
        <v>9</v>
      </c>
      <c r="B20" s="4">
        <v>6</v>
      </c>
    </row>
    <row r="21" spans="1:2" x14ac:dyDescent="0.3">
      <c r="A21" s="3" t="s">
        <v>24</v>
      </c>
      <c r="B21" s="4">
        <v>5</v>
      </c>
    </row>
    <row r="22" spans="1:2" x14ac:dyDescent="0.3">
      <c r="A22" s="3" t="s">
        <v>8</v>
      </c>
      <c r="B22" s="4">
        <v>2</v>
      </c>
    </row>
    <row r="23" spans="1:2" x14ac:dyDescent="0.3">
      <c r="A23" s="3" t="s">
        <v>14</v>
      </c>
      <c r="B23" s="4">
        <v>1</v>
      </c>
    </row>
    <row r="24" spans="1:2" x14ac:dyDescent="0.3">
      <c r="A24" s="3" t="s">
        <v>17</v>
      </c>
      <c r="B24" s="4">
        <v>1</v>
      </c>
    </row>
    <row r="25" spans="1:2" x14ac:dyDescent="0.3">
      <c r="A25" s="3" t="s">
        <v>35</v>
      </c>
      <c r="B25" s="4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56C9-DDFA-4A9B-A579-1C4261A17E6D}">
  <dimension ref="A3:B21"/>
  <sheetViews>
    <sheetView workbookViewId="0">
      <selection activeCell="A4" sqref="A4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2" t="s">
        <v>34</v>
      </c>
      <c r="B3" t="s">
        <v>36</v>
      </c>
    </row>
    <row r="4" spans="1:2" x14ac:dyDescent="0.3">
      <c r="A4" s="3" t="s">
        <v>16</v>
      </c>
      <c r="B4" s="4">
        <v>15</v>
      </c>
    </row>
    <row r="5" spans="1:2" x14ac:dyDescent="0.3">
      <c r="A5" s="5" t="s">
        <v>15</v>
      </c>
      <c r="B5" s="4">
        <v>9</v>
      </c>
    </row>
    <row r="6" spans="1:2" x14ac:dyDescent="0.3">
      <c r="A6" s="5" t="s">
        <v>25</v>
      </c>
      <c r="B6" s="4">
        <v>1</v>
      </c>
    </row>
    <row r="7" spans="1:2" x14ac:dyDescent="0.3">
      <c r="A7" s="5" t="s">
        <v>26</v>
      </c>
      <c r="B7" s="4">
        <v>5</v>
      </c>
    </row>
    <row r="8" spans="1:2" x14ac:dyDescent="0.3">
      <c r="A8" s="3" t="s">
        <v>13</v>
      </c>
      <c r="B8" s="4">
        <v>290</v>
      </c>
    </row>
    <row r="9" spans="1:2" x14ac:dyDescent="0.3">
      <c r="A9" s="3" t="s">
        <v>11</v>
      </c>
      <c r="B9" s="4">
        <v>100</v>
      </c>
    </row>
    <row r="10" spans="1:2" x14ac:dyDescent="0.3">
      <c r="A10" s="3" t="s">
        <v>28</v>
      </c>
      <c r="B10" s="4">
        <v>283</v>
      </c>
    </row>
    <row r="11" spans="1:2" x14ac:dyDescent="0.3">
      <c r="A11" s="3" t="s">
        <v>6</v>
      </c>
      <c r="B11" s="4">
        <v>150</v>
      </c>
    </row>
    <row r="12" spans="1:2" x14ac:dyDescent="0.3">
      <c r="A12" s="3" t="s">
        <v>21</v>
      </c>
      <c r="B12" s="4">
        <v>4</v>
      </c>
    </row>
    <row r="13" spans="1:2" x14ac:dyDescent="0.3">
      <c r="A13" s="3" t="s">
        <v>23</v>
      </c>
      <c r="B13" s="4">
        <v>1</v>
      </c>
    </row>
    <row r="14" spans="1:2" x14ac:dyDescent="0.3">
      <c r="A14" s="3" t="s">
        <v>22</v>
      </c>
      <c r="B14" s="4">
        <v>47</v>
      </c>
    </row>
    <row r="15" spans="1:2" x14ac:dyDescent="0.3">
      <c r="A15" s="3" t="s">
        <v>3</v>
      </c>
      <c r="B15" s="4">
        <v>20</v>
      </c>
    </row>
    <row r="16" spans="1:2" x14ac:dyDescent="0.3">
      <c r="A16" s="3" t="s">
        <v>20</v>
      </c>
      <c r="B16" s="4">
        <v>8</v>
      </c>
    </row>
    <row r="17" spans="1:2" x14ac:dyDescent="0.3">
      <c r="A17" s="3" t="s">
        <v>4</v>
      </c>
      <c r="B17" s="4">
        <v>130</v>
      </c>
    </row>
    <row r="18" spans="1:2" x14ac:dyDescent="0.3">
      <c r="A18" s="3" t="s">
        <v>7</v>
      </c>
      <c r="B18" s="4">
        <v>90</v>
      </c>
    </row>
    <row r="19" spans="1:2" x14ac:dyDescent="0.3">
      <c r="A19" s="3" t="s">
        <v>27</v>
      </c>
      <c r="B19" s="4">
        <v>379</v>
      </c>
    </row>
    <row r="20" spans="1:2" x14ac:dyDescent="0.3">
      <c r="A20" s="3" t="s">
        <v>10</v>
      </c>
      <c r="B20" s="4">
        <v>65</v>
      </c>
    </row>
    <row r="21" spans="1:2" x14ac:dyDescent="0.3">
      <c r="A21" s="3" t="s">
        <v>35</v>
      </c>
      <c r="B21" s="4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first-pivot</vt:lpstr>
      <vt:lpstr>second-pivot</vt:lpstr>
      <vt:lpstr>third-pivot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9999</dc:creator>
  <cp:lastModifiedBy>9999</cp:lastModifiedBy>
  <dcterms:created xsi:type="dcterms:W3CDTF">2020-09-01T17:18:12Z</dcterms:created>
  <dcterms:modified xsi:type="dcterms:W3CDTF">2024-09-30T11:59:45Z</dcterms:modified>
</cp:coreProperties>
</file>